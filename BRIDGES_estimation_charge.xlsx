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Estim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<sst xmlns="http://schemas.openxmlformats.org/spreadsheetml/2006/main" count="223" uniqueCount="177">
  <si>
    <t xml:space="preserve">BRIDGES : hypothèses de l'estimation de charge</t>
  </si>
  <si>
    <t xml:space="preserve">Cellules bleues = paramètres modifiables. L'onglet 'Estimation' se recalcule automatiquement.</t>
  </si>
  <si>
    <t xml:space="preserve">Paramètre</t>
  </si>
  <si>
    <t xml:space="preserve">Valeur</t>
  </si>
  <si>
    <t xml:space="preserve">Unité</t>
  </si>
  <si>
    <t xml:space="preserve">Source / justification</t>
  </si>
  <si>
    <t xml:space="preserve">CADENCES ET TEMPS UNITAIRES</t>
  </si>
  <si>
    <t xml:space="preserve">Débit de screening</t>
  </si>
  <si>
    <t xml:space="preserve">abstracts/sem</t>
  </si>
  <si>
    <t xml:space="preserve">Débit réel soutenable mesuré (fatigue incluse)</t>
  </si>
  <si>
    <t xml:space="preserve">Temps téléchargement OA (manuel)</t>
  </si>
  <si>
    <t xml:space="preserve">min/article</t>
  </si>
  <si>
    <t xml:space="preserve">Manuel : recherche + téléchargement + renommage</t>
  </si>
  <si>
    <t xml:space="preserve">Temps full-text (lecture+décision)</t>
  </si>
  <si>
    <t xml:space="preserve">Tri full-text : décision inclure/exclure sur critères</t>
  </si>
  <si>
    <t xml:space="preserve">Temps validation fiche IA</t>
  </si>
  <si>
    <t xml:space="preserve">Validation fiche : ~13% des champs à confiance moy./basse (mesuré sur 207 fiches)</t>
  </si>
  <si>
    <t xml:space="preserve">TEMPS DE TRAVAIL</t>
  </si>
  <si>
    <t xml:space="preserve">Heures travaillées / semaine</t>
  </si>
  <si>
    <t xml:space="preserve">h/semaine</t>
  </si>
  <si>
    <t xml:space="preserve">Temps plein</t>
  </si>
  <si>
    <t xml:space="preserve">Jours travaillés / semaine</t>
  </si>
  <si>
    <t xml:space="preserve">j/semaine</t>
  </si>
  <si>
    <t xml:space="preserve">Nb de personnes</t>
  </si>
  <si>
    <t xml:space="preserve">personnes</t>
  </si>
  <si>
    <t xml:space="preserve">STRUCTURANT : tous les calculs supposent 1 personne. Modifier ici pour simuler une équipe.</t>
  </si>
  <si>
    <t xml:space="preserve">Semaines restantes au contrat</t>
  </si>
  <si>
    <t xml:space="preserve">semaines</t>
  </si>
  <si>
    <t xml:space="preserve">Contrat jusqu'à fin juillet 2026</t>
  </si>
  <si>
    <t xml:space="preserve">VOLUMES DU CORPUS</t>
  </si>
  <si>
    <t xml:space="preserve">Taux d'inclusion (abstract→full-text)</t>
  </si>
  <si>
    <t xml:space="preserve">proportion</t>
  </si>
  <si>
    <t xml:space="preserve">Part des abstracts jugés pertinents (prudent)</t>
  </si>
  <si>
    <t xml:space="preserve">Abstracts WoS restants</t>
  </si>
  <si>
    <t xml:space="preserve">abstracts</t>
  </si>
  <si>
    <t xml:space="preserve">Non-vus (ASReview)</t>
  </si>
  <si>
    <t xml:space="preserve">Inclus déjà identifiés</t>
  </si>
  <si>
    <t xml:space="preserve">articles</t>
  </si>
  <si>
    <t xml:space="preserve">Déjà jugés pertinents</t>
  </si>
  <si>
    <t xml:space="preserve">PDF déjà téléchargés</t>
  </si>
  <si>
    <t xml:space="preserve">OA récupérés</t>
  </si>
  <si>
    <t xml:space="preserve">OA restants à télécharger</t>
  </si>
  <si>
    <t xml:space="preserve">536 OA - 207 déjà faits</t>
  </si>
  <si>
    <t xml:space="preserve">Paywall à demander (biblio)</t>
  </si>
  <si>
    <t xml:space="preserve">Sous abonnement éditeur</t>
  </si>
  <si>
    <t xml:space="preserve">Extraction Python déjà faite</t>
  </si>
  <si>
    <t xml:space="preserve">Fiches pré-remplies produites</t>
  </si>
  <si>
    <t xml:space="preserve">SNOWBALLING (mesuré citationchaser / Lens.org, 816 art.)</t>
  </si>
  <si>
    <t xml:space="preserve">Snowballing forward (mesuré)</t>
  </si>
  <si>
    <t xml:space="preserve">Citants uniques</t>
  </si>
  <si>
    <t xml:space="preserve">Snowballing backward (mesuré)</t>
  </si>
  <si>
    <t xml:space="preserve">références</t>
  </si>
  <si>
    <t xml:space="preserve">Références uniques</t>
  </si>
  <si>
    <t xml:space="preserve">Snowballing part conservée</t>
  </si>
  <si>
    <t xml:space="preserve">Très approximatif (voir note onglet Estimation)</t>
  </si>
  <si>
    <t xml:space="preserve">FORFAITS (phases 03-05)</t>
  </si>
  <si>
    <t xml:space="preserve">Forfait préparation demande biblio</t>
  </si>
  <si>
    <t xml:space="preserve">jours</t>
  </si>
  <si>
    <t xml:space="preserve">Préparation liste DOI + suivi (hors délai biblio)</t>
  </si>
  <si>
    <t xml:space="preserve">Forfait extraction Python (/207)</t>
  </si>
  <si>
    <t xml:space="preserve">Mesuré : ~½ journée pour 207 articles</t>
  </si>
  <si>
    <t xml:space="preserve">Forfait harmonisation + consolidation</t>
  </si>
  <si>
    <t xml:space="preserve">Relance code + vérification experte de chaque modèle (cas ambigus, nouvelles familles)</t>
  </si>
  <si>
    <t xml:space="preserve">Forfait analyses/visualisations restantes</t>
  </si>
  <si>
    <t xml:space="preserve">Radars/heatmap/clusters faits ; reste à finaliser</t>
  </si>
  <si>
    <t xml:space="preserve">Forfait rédaction (manuscrit)</t>
  </si>
  <si>
    <t xml:space="preserve">Manuscrit + suppléments + révisions</t>
  </si>
  <si>
    <t xml:space="preserve">Forfait guide de choix de modèle</t>
  </si>
  <si>
    <t xml:space="preserve">Livrable BRIDGES</t>
  </si>
  <si>
    <t xml:space="preserve">SECONDE VAGUE (issus du screening des 2011)</t>
  </si>
  <si>
    <t xml:space="preserve">Taux d'inclusion des 2011 restants</t>
  </si>
  <si>
    <t xml:space="preserve">Prudent ; baisse attendue (active learning a écrémé)</t>
  </si>
  <si>
    <t xml:space="preserve">LITTÉRATURE GRISE (Publish or Perish, FAO, thèses)</t>
  </si>
  <si>
    <t xml:space="preserve">Documents littérature grise (estimés)</t>
  </si>
  <si>
    <t xml:space="preserve">documents</t>
  </si>
  <si>
    <t xml:space="preserve">Estimation grossière (test PoP bref) ; à affiner</t>
  </si>
  <si>
    <t xml:space="preserve">Temps tri document long</t>
  </si>
  <si>
    <t xml:space="preserve">min/document</t>
  </si>
  <si>
    <t xml:space="preserve">Rapports FAO / thèses : longs (résumé, TOC, intro, conclu)</t>
  </si>
  <si>
    <t xml:space="preserve">Taux d'inclusion littérature grise</t>
  </si>
  <si>
    <t xml:space="preserve">Part jugée pertinente puis à extraire</t>
  </si>
  <si>
    <t xml:space="preserve">Temps validation fiche litt. grise</t>
  </si>
  <si>
    <t xml:space="preserve">Documents longs (rapports/thèses) : 2x un article</t>
  </si>
  <si>
    <t xml:space="preserve">FICHES MODÈLES (distinctes des fiches articles)</t>
  </si>
  <si>
    <t xml:space="preserve">Nb de fiches modèles distinctes</t>
  </si>
  <si>
    <t xml:space="preserve">fiches</t>
  </si>
  <si>
    <t xml:space="preserve">Une par modèle canonique (28 actuels + nouveaux du corpus complet)</t>
  </si>
  <si>
    <t xml:space="preserve">Temps validation fiche modèle</t>
  </si>
  <si>
    <t xml:space="preserve">min/fiche</t>
  </si>
  <si>
    <t xml:space="preserve">Pré-remplissage IA + vérification experte (se documenter sur le modèle)</t>
  </si>
  <si>
    <t xml:space="preserve">BRIDGES-Avatar — Scoping Review : estimation de charge par phase</t>
  </si>
  <si>
    <t xml:space="preserve">Toutes les estimations supposent UNE SEULE personne à temps plein. Volumes mesurés (Lens.org) et débit réel observé.</t>
  </si>
  <si>
    <t xml:space="preserve">Tâche</t>
  </si>
  <si>
    <t xml:space="preserve">Statut</t>
  </si>
  <si>
    <t xml:space="preserve">Volume</t>
  </si>
  <si>
    <t xml:space="preserve">Temps (h)</t>
  </si>
  <si>
    <t xml:space="preserve">Semaines</t>
  </si>
  <si>
    <t xml:space="preserve">Note</t>
  </si>
  <si>
    <t xml:space="preserve">PHASE 02 — Screening</t>
  </si>
  <si>
    <t xml:space="preserve">Screening titre/abstract restants</t>
  </si>
  <si>
    <t xml:space="preserve">À faire</t>
  </si>
  <si>
    <t xml:space="preserve">Non-vus ASReview</t>
  </si>
  <si>
    <t xml:space="preserve">Téléchargement PDF — OA restants</t>
  </si>
  <si>
    <t xml:space="preserve">Manuel : recherche + DL + renommage</t>
  </si>
  <si>
    <t xml:space="preserve">Téléchargement PDF — demande biblio</t>
  </si>
  <si>
    <t xml:space="preserve">Forfait ; hors délai biblio (externe)</t>
  </si>
  <si>
    <t xml:space="preserve">Snowballing — forward</t>
  </si>
  <si>
    <t xml:space="preserve">Mesuré citationchaser (816 art.)</t>
  </si>
  <si>
    <t xml:space="preserve">Snowballing — backward</t>
  </si>
  <si>
    <t xml:space="preserve">Snowballing — total brut</t>
  </si>
  <si>
    <t xml:space="preserve">—</t>
  </si>
  <si>
    <t xml:space="preserve">Forward + backward</t>
  </si>
  <si>
    <t xml:space="preserve">Snowballing — net estimé (TRÈS approx.)</t>
  </si>
  <si>
    <t xml:space="preserve">Voir note (*)</t>
  </si>
  <si>
    <t xml:space="preserve">Littérature grise — tri (FAO, thèses)</t>
  </si>
  <si>
    <t xml:space="preserve">Documents longs ; demandé par l'équipe</t>
  </si>
  <si>
    <t xml:space="preserve">PHASE 03 — Extraction des données</t>
  </si>
  <si>
    <t xml:space="preserve">Corpus 1 — inclus déjà identifiés (816)</t>
  </si>
  <si>
    <t xml:space="preserve">Extraction Python — déjà faite</t>
  </si>
  <si>
    <t xml:space="preserve">Fait</t>
  </si>
  <si>
    <t xml:space="preserve">~½ j pour 207 art.</t>
  </si>
  <si>
    <t xml:space="preserve">Extraction Python — reste des inclus</t>
  </si>
  <si>
    <t xml:space="preserve">Proportionnel, faible</t>
  </si>
  <si>
    <t xml:space="preserve">Full-text — tri (décision)</t>
  </si>
  <si>
    <t xml:space="preserve">Sur les inclus</t>
  </si>
  <si>
    <t xml:space="preserve">Validation fiches articles</t>
  </si>
  <si>
    <t xml:space="preserve">En partie</t>
  </si>
  <si>
    <t xml:space="preserve">Relecture+correction (lent)</t>
  </si>
  <si>
    <t xml:space="preserve">Corpus 2 — nouveaux inclus (issus des 2011 × taux)</t>
  </si>
  <si>
    <t xml:space="preserve">Téléchargement PDF (manuel)</t>
  </si>
  <si>
    <t xml:space="preserve">Manuel ; OA + biblio confondus</t>
  </si>
  <si>
    <t xml:space="preserve">Extraction Python</t>
  </si>
  <si>
    <t xml:space="preserve">Proportionnel</t>
  </si>
  <si>
    <t xml:space="preserve">Sur les nouveaux inclus</t>
  </si>
  <si>
    <t xml:space="preserve">Relecture+correction</t>
  </si>
  <si>
    <t xml:space="preserve">Corpus 3 — littérature grise retenue (FAO, thèses)</t>
  </si>
  <si>
    <t xml:space="preserve">Documents longs</t>
  </si>
  <si>
    <t xml:space="preserve">45 min/doc (long)</t>
  </si>
  <si>
    <t xml:space="preserve">Fiches modèles (transversales, distinctes des fiches articles)</t>
  </si>
  <si>
    <t xml:space="preserve">Validation fiches modèles</t>
  </si>
  <si>
    <t xml:space="preserve">1 par modèle canonique ; IA + vérif. experte</t>
  </si>
  <si>
    <t xml:space="preserve">Harmonisation + consolidation</t>
  </si>
  <si>
    <t xml:space="preserve">Code + arbitrage modèles (après validations)</t>
  </si>
  <si>
    <t xml:space="preserve">PHASE 04 — Analyses &amp; visualisation</t>
  </si>
  <si>
    <t xml:space="preserve">Radars / heatmap / clusters</t>
  </si>
  <si>
    <t xml:space="preserve">Produits (rapport Quarto)</t>
  </si>
  <si>
    <t xml:space="preserve">Finalisation analyses restantes</t>
  </si>
  <si>
    <t xml:space="preserve">Mise en forme, take-home</t>
  </si>
  <si>
    <t xml:space="preserve">Faisabilité par site BRIDGES</t>
  </si>
  <si>
    <t xml:space="preserve">Bloqué</t>
  </si>
  <si>
    <t xml:space="preserve">Attend données site (équipe)</t>
  </si>
  <si>
    <t xml:space="preserve">Score composite de pertinence</t>
  </si>
  <si>
    <t xml:space="preserve">Attend formule (équipe)</t>
  </si>
  <si>
    <t xml:space="preserve">Ateliers de co-construction</t>
  </si>
  <si>
    <t xml:space="preserve">Activité (non chiffrable ici)</t>
  </si>
  <si>
    <t xml:space="preserve">PHASE 05 — Rédaction</t>
  </si>
  <si>
    <t xml:space="preserve">Forfait estimé</t>
  </si>
  <si>
    <t xml:space="preserve">Guide de choix de modèle (livrable)</t>
  </si>
  <si>
    <t xml:space="preserve">SYNTHÈSE — charge cumulative selon le périmètre (semaines-personne)</t>
  </si>
  <si>
    <t xml:space="preserve">A. Corpus 1 seul (816) + fiches modèles + analyses + rédaction</t>
  </si>
  <si>
    <t xml:space="preserve">Finir le corpus déjà identifié</t>
  </si>
  <si>
    <t xml:space="preserve">B. + reste du corpus d'abstracts (2011 → corpus 2)</t>
  </si>
  <si>
    <t xml:space="preserve">Ajoute screening 2011 + nouveaux inclus</t>
  </si>
  <si>
    <t xml:space="preserve">C. + snowballing net estimé</t>
  </si>
  <si>
    <t xml:space="preserve">Ajoute le snowballing (option)</t>
  </si>
  <si>
    <t xml:space="preserve">D. + littérature grise (tri + corpus 3)</t>
  </si>
  <si>
    <t xml:space="preserve">Ajoute tri + extraction/validation litt. grise</t>
  </si>
  <si>
    <t xml:space="preserve">Hypothèse structurante : une seule personne (Théophile) réalise tout. Avec N personnes, la charge se répartit en partie (le</t>
  </si>
  <si>
    <t xml:space="preserve">screening rigoureux requiert toutefois ≥ 2 évaluateurs indépendants ; la rédaction se parallélise mal).</t>
  </si>
  <si>
    <t xml:space="preserve">(*) Snowballing : les volumes bruts (forward + backward) sont mesurés via citationchaser (Lens.org) sur les 816 articles inclus,</t>
  </si>
  <si>
    <t xml:space="preserve">mais N'ONT PAS encore été triés. Le volume net réel (après déduplication entre listes, retrait des articles déjà dans le corpus,</t>
  </si>
  <si>
    <t xml:space="preserve">et filtres date/langue/type) sera bien inférieur et reste à établir (tri R à faire). Le chiffre 'net estimé' n'est qu'un ordre de</t>
  </si>
  <si>
    <t xml:space="preserve">grandeur indicatif, à ne pas présenter comme définitif. L'apprentissage actif (ASReview) avec critère d'arrêt réduirait encore le</t>
  </si>
  <si>
    <t xml:space="preserve">nombre d'abstracts réellement examinés.</t>
  </si>
  <si>
    <t xml:space="preserve">Corpus 2 : nouveaux inclus = 2011 abstracts restants × taux d'inclusion (paramétrable).</t>
  </si>
  <si>
    <t xml:space="preserve">Littérature grise : volume estimé grossièrement (test Publish or Perish bref). Documents longs : tri et validation plus lents.</t>
  </si>
  <si>
    <t xml:space="preserve">Fiches modèles : une par modèle canonique distinct, transversales aux articles (pré-remplissage IA puis vérification experte).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</si>
</sst>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i val="true"/>
      <sz val="9"/>
      <color rgb="FFC0392B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9"/>
      <color rgb="FF1F4E5F"/>
      <name val="Arial"/>
      <family val="0"/>
      <charset val="1"/>
    </font>
    <font>
      <b val="true"/>
      <i val="true"/>
      <sz val="8"/>
      <color rgb="FFC0392B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6E4EA"/>
        <bgColor rgb="FFDEEAF1"/>
      </patternFill>
    </fill>
    <fill>
      <patternFill patternType="solid">
        <fgColor rgb="FFFFF2CC"/>
        <bgColor rgb="FFFCEBD2"/>
      </patternFill>
    </fill>
    <fill>
      <patternFill patternType="solid">
        <fgColor rgb="FFE6DEF5"/>
        <bgColor rgb="FFE8D9F0"/>
      </patternFill>
    </fill>
    <fill>
      <patternFill patternType="solid">
        <fgColor rgb="FFDEEAF1"/>
        <bgColor rgb="FFD6E4EA"/>
      </patternFill>
    </fill>
    <fill>
      <patternFill patternType="solid">
        <fgColor rgb="FFFCEBD2"/>
        <bgColor rgb="FFFCE5CD"/>
      </patternFill>
    </fill>
    <fill>
      <patternFill patternType="solid">
        <fgColor rgb="FFEDE3F5"/>
        <bgColor rgb="FFE6DEF5"/>
      </patternFill>
    </fill>
    <fill>
      <patternFill patternType="solid">
        <fgColor rgb="FFD9EAD3"/>
        <bgColor rgb="FFDDEFD6"/>
      </patternFill>
    </fill>
    <fill>
      <patternFill patternType="solid">
        <fgColor rgb="FFF9DCD4"/>
        <bgColor rgb="FFFCE5CD"/>
      </patternFill>
    </fill>
    <fill>
      <patternFill patternType="solid">
        <fgColor rgb="FFF4CCCC"/>
        <bgColor rgb="FFF9DCD4"/>
      </patternFill>
    </fill>
    <fill>
      <patternFill patternType="solid">
        <fgColor rgb="FFDDEFD6"/>
        <bgColor rgb="FFD9EAD3"/>
      </patternFill>
    </fill>
    <fill>
      <patternFill patternType="solid">
        <fgColor rgb="FFFCE5CD"/>
        <bgColor rgb="FFFCEBD2"/>
      </patternFill>
    </fill>
    <fill>
      <patternFill patternType="solid">
        <fgColor rgb="FFE8D9F0"/>
        <bgColor rgb="FFE6DE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EDE3F5"/>
      <rgbColor rgb="FF993366"/>
      <rgbColor rgb="FFFFF2CC"/>
      <rgbColor rgb="FFDEEAF1"/>
      <rgbColor rgb="FF660066"/>
      <rgbColor rgb="FFFF8080"/>
      <rgbColor rgb="FF0066CC"/>
      <rgbColor rgb="FFE8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EA"/>
      <rgbColor rgb="FFDDEFD6"/>
      <rgbColor rgb="FFFCEBD2"/>
      <rgbColor rgb="FFD9EAD3"/>
      <rgbColor rgb="FFF9DCD4"/>
      <rgbColor rgb="FFE6DEF5"/>
      <rgbColor rgb="FFF4CCCC"/>
      <rgbColor rgb="FF3366FF"/>
      <rgbColor rgb="FF33CCCC"/>
      <rgbColor rgb="FF99CC00"/>
      <rgbColor rgb="FFFCE5CD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1"/>
    <col collapsed="false" customWidth="true" hidden="false" outlineLevel="0" max="3" min="3" style="1" width="15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5" customFormat="false" ht="1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</row>
    <row r="6" customFormat="false" ht="15" hidden="false" customHeight="true" outlineLevel="0" collapsed="false">
      <c r="A6" s="5" t="s">
        <v>6</v>
      </c>
      <c r="B6" s="6"/>
      <c r="C6" s="6"/>
      <c r="D6" s="6"/>
    </row>
    <row r="7" customFormat="false" ht="15" hidden="false" customHeight="true" outlineLevel="0" collapsed="false">
      <c r="A7" s="7" t="s">
        <v>7</v>
      </c>
      <c r="B7" s="8" t="n">
        <v>350</v>
      </c>
      <c r="C7" s="9" t="s">
        <v>8</v>
      </c>
      <c r="D7" s="7" t="s">
        <v>9</v>
      </c>
    </row>
    <row r="8" customFormat="false" ht="15" hidden="false" customHeight="true" outlineLevel="0" collapsed="false">
      <c r="A8" s="7" t="s">
        <v>10</v>
      </c>
      <c r="B8" s="8" t="n">
        <v>3</v>
      </c>
      <c r="C8" s="9" t="s">
        <v>11</v>
      </c>
      <c r="D8" s="7" t="s">
        <v>12</v>
      </c>
    </row>
    <row r="9" customFormat="false" ht="15" hidden="false" customHeight="true" outlineLevel="0" collapsed="false">
      <c r="A9" s="7" t="s">
        <v>13</v>
      </c>
      <c r="B9" s="8" t="n">
        <v>15</v>
      </c>
      <c r="C9" s="9" t="s">
        <v>11</v>
      </c>
      <c r="D9" s="7" t="s">
        <v>14</v>
      </c>
    </row>
    <row r="10" customFormat="false" ht="15" hidden="false" customHeight="true" outlineLevel="0" collapsed="false">
      <c r="A10" s="7" t="s">
        <v>15</v>
      </c>
      <c r="B10" s="8" t="n">
        <v>20</v>
      </c>
      <c r="C10" s="9" t="s">
        <v>11</v>
      </c>
      <c r="D10" s="7" t="s">
        <v>16</v>
      </c>
    </row>
    <row r="11" customFormat="false" ht="15" hidden="false" customHeight="true" outlineLevel="0" collapsed="false">
      <c r="A11" s="5" t="s">
        <v>17</v>
      </c>
      <c r="B11" s="6"/>
      <c r="C11" s="6"/>
      <c r="D11" s="6"/>
    </row>
    <row r="12" customFormat="false" ht="15" hidden="false" customHeight="true" outlineLevel="0" collapsed="false">
      <c r="A12" s="7" t="s">
        <v>18</v>
      </c>
      <c r="B12" s="8" t="n">
        <v>37</v>
      </c>
      <c r="C12" s="9" t="s">
        <v>19</v>
      </c>
      <c r="D12" s="7" t="s">
        <v>20</v>
      </c>
    </row>
    <row r="13" customFormat="false" ht="15" hidden="false" customHeight="true" outlineLevel="0" collapsed="false">
      <c r="A13" s="7" t="s">
        <v>21</v>
      </c>
      <c r="B13" s="8" t="n">
        <v>5</v>
      </c>
      <c r="C13" s="9" t="s">
        <v>22</v>
      </c>
      <c r="D13" s="7" t="s">
        <v>20</v>
      </c>
    </row>
    <row r="14" customFormat="false" ht="15" hidden="false" customHeight="true" outlineLevel="0" collapsed="false">
      <c r="A14" s="7" t="s">
        <v>23</v>
      </c>
      <c r="B14" s="8" t="n">
        <v>1</v>
      </c>
      <c r="C14" s="9" t="s">
        <v>24</v>
      </c>
      <c r="D14" s="10" t="s">
        <v>25</v>
      </c>
    </row>
    <row r="15" customFormat="false" ht="15" hidden="false" customHeight="true" outlineLevel="0" collapsed="false">
      <c r="A15" s="7" t="s">
        <v>26</v>
      </c>
      <c r="B15" s="8" t="n">
        <v>3</v>
      </c>
      <c r="C15" s="9" t="s">
        <v>27</v>
      </c>
      <c r="D15" s="7" t="s">
        <v>28</v>
      </c>
    </row>
    <row r="16" customFormat="false" ht="15" hidden="false" customHeight="true" outlineLevel="0" collapsed="false">
      <c r="A16" s="5" t="s">
        <v>29</v>
      </c>
      <c r="B16" s="6"/>
      <c r="C16" s="6"/>
      <c r="D16" s="6"/>
    </row>
    <row r="17" customFormat="false" ht="15" hidden="false" customHeight="true" outlineLevel="0" collapsed="false">
      <c r="A17" s="7" t="s">
        <v>30</v>
      </c>
      <c r="B17" s="8" t="n">
        <v>0.5</v>
      </c>
      <c r="C17" s="9" t="s">
        <v>31</v>
      </c>
      <c r="D17" s="7" t="s">
        <v>32</v>
      </c>
    </row>
    <row r="18" customFormat="false" ht="15" hidden="false" customHeight="true" outlineLevel="0" collapsed="false">
      <c r="A18" s="7" t="s">
        <v>33</v>
      </c>
      <c r="B18" s="8" t="n">
        <v>2011</v>
      </c>
      <c r="C18" s="9" t="s">
        <v>34</v>
      </c>
      <c r="D18" s="7" t="s">
        <v>35</v>
      </c>
    </row>
    <row r="19" customFormat="false" ht="15" hidden="false" customHeight="true" outlineLevel="0" collapsed="false">
      <c r="A19" s="7" t="s">
        <v>36</v>
      </c>
      <c r="B19" s="8" t="n">
        <v>816</v>
      </c>
      <c r="C19" s="9" t="s">
        <v>37</v>
      </c>
      <c r="D19" s="7" t="s">
        <v>38</v>
      </c>
    </row>
    <row r="20" customFormat="false" ht="15" hidden="false" customHeight="true" outlineLevel="0" collapsed="false">
      <c r="A20" s="7" t="s">
        <v>39</v>
      </c>
      <c r="B20" s="8" t="n">
        <v>207</v>
      </c>
      <c r="C20" s="9" t="s">
        <v>37</v>
      </c>
      <c r="D20" s="7" t="s">
        <v>40</v>
      </c>
    </row>
    <row r="21" customFormat="false" ht="15" hidden="false" customHeight="true" outlineLevel="0" collapsed="false">
      <c r="A21" s="7" t="s">
        <v>41</v>
      </c>
      <c r="B21" s="8" t="n">
        <v>329</v>
      </c>
      <c r="C21" s="9" t="s">
        <v>37</v>
      </c>
      <c r="D21" s="7" t="s">
        <v>42</v>
      </c>
    </row>
    <row r="22" customFormat="false" ht="15" hidden="false" customHeight="true" outlineLevel="0" collapsed="false">
      <c r="A22" s="7" t="s">
        <v>43</v>
      </c>
      <c r="B22" s="8" t="n">
        <v>277</v>
      </c>
      <c r="C22" s="9" t="s">
        <v>37</v>
      </c>
      <c r="D22" s="7" t="s">
        <v>44</v>
      </c>
    </row>
    <row r="23" customFormat="false" ht="15" hidden="false" customHeight="true" outlineLevel="0" collapsed="false">
      <c r="A23" s="7" t="s">
        <v>45</v>
      </c>
      <c r="B23" s="8" t="n">
        <v>207</v>
      </c>
      <c r="C23" s="9" t="s">
        <v>37</v>
      </c>
      <c r="D23" s="7" t="s">
        <v>46</v>
      </c>
    </row>
    <row r="24" customFormat="false" ht="15" hidden="false" customHeight="true" outlineLevel="0" collapsed="false">
      <c r="A24" s="5" t="s">
        <v>47</v>
      </c>
      <c r="B24" s="6"/>
      <c r="C24" s="6"/>
      <c r="D24" s="6"/>
    </row>
    <row r="25" customFormat="false" ht="15" hidden="false" customHeight="true" outlineLevel="0" collapsed="false">
      <c r="A25" s="7" t="s">
        <v>48</v>
      </c>
      <c r="B25" s="8" t="n">
        <v>9642</v>
      </c>
      <c r="C25" s="9" t="s">
        <v>37</v>
      </c>
      <c r="D25" s="7" t="s">
        <v>49</v>
      </c>
    </row>
    <row r="26" customFormat="false" ht="15" hidden="false" customHeight="true" outlineLevel="0" collapsed="false">
      <c r="A26" s="7" t="s">
        <v>50</v>
      </c>
      <c r="B26" s="8" t="n">
        <v>46644</v>
      </c>
      <c r="C26" s="9" t="s">
        <v>51</v>
      </c>
      <c r="D26" s="7" t="s">
        <v>52</v>
      </c>
    </row>
    <row r="27" customFormat="false" ht="15" hidden="false" customHeight="true" outlineLevel="0" collapsed="false">
      <c r="A27" s="7" t="s">
        <v>53</v>
      </c>
      <c r="B27" s="8" t="n">
        <v>0.4</v>
      </c>
      <c r="C27" s="9" t="s">
        <v>31</v>
      </c>
      <c r="D27" s="7" t="s">
        <v>54</v>
      </c>
    </row>
    <row r="28" customFormat="false" ht="15" hidden="false" customHeight="true" outlineLevel="0" collapsed="false">
      <c r="A28" s="5" t="s">
        <v>55</v>
      </c>
      <c r="B28" s="6"/>
      <c r="C28" s="6"/>
      <c r="D28" s="6"/>
    </row>
    <row r="29" customFormat="false" ht="15" hidden="false" customHeight="true" outlineLevel="0" collapsed="false">
      <c r="A29" s="7" t="s">
        <v>56</v>
      </c>
      <c r="B29" s="8" t="n">
        <v>0.5</v>
      </c>
      <c r="C29" s="9" t="s">
        <v>57</v>
      </c>
      <c r="D29" s="7" t="s">
        <v>58</v>
      </c>
    </row>
    <row r="30" customFormat="false" ht="15" hidden="false" customHeight="true" outlineLevel="0" collapsed="false">
      <c r="A30" s="7" t="s">
        <v>59</v>
      </c>
      <c r="B30" s="8" t="n">
        <v>0.5</v>
      </c>
      <c r="C30" s="9" t="s">
        <v>57</v>
      </c>
      <c r="D30" s="7" t="s">
        <v>60</v>
      </c>
    </row>
    <row r="31" customFormat="false" ht="15" hidden="false" customHeight="true" outlineLevel="0" collapsed="false">
      <c r="A31" s="7" t="s">
        <v>61</v>
      </c>
      <c r="B31" s="8" t="n">
        <v>0.5</v>
      </c>
      <c r="C31" s="9" t="s">
        <v>27</v>
      </c>
      <c r="D31" s="7" t="s">
        <v>62</v>
      </c>
    </row>
    <row r="32" customFormat="false" ht="15" hidden="false" customHeight="true" outlineLevel="0" collapsed="false">
      <c r="A32" s="7" t="s">
        <v>63</v>
      </c>
      <c r="B32" s="8" t="n">
        <v>1</v>
      </c>
      <c r="C32" s="9" t="s">
        <v>27</v>
      </c>
      <c r="D32" s="7" t="s">
        <v>64</v>
      </c>
    </row>
    <row r="33" customFormat="false" ht="15" hidden="false" customHeight="true" outlineLevel="0" collapsed="false">
      <c r="A33" s="7" t="s">
        <v>65</v>
      </c>
      <c r="B33" s="8" t="n">
        <v>6</v>
      </c>
      <c r="C33" s="9" t="s">
        <v>27</v>
      </c>
      <c r="D33" s="7" t="s">
        <v>66</v>
      </c>
    </row>
    <row r="34" customFormat="false" ht="15" hidden="false" customHeight="true" outlineLevel="0" collapsed="false">
      <c r="A34" s="7" t="s">
        <v>67</v>
      </c>
      <c r="B34" s="8" t="n">
        <v>1</v>
      </c>
      <c r="C34" s="9" t="s">
        <v>27</v>
      </c>
      <c r="D34" s="7" t="s">
        <v>68</v>
      </c>
    </row>
    <row r="36" customFormat="false" ht="15" hidden="false" customHeight="true" outlineLevel="0" collapsed="false">
      <c r="A36" s="5" t="s">
        <v>69</v>
      </c>
      <c r="B36" s="6"/>
      <c r="C36" s="6"/>
      <c r="D36" s="6"/>
    </row>
    <row r="37" customFormat="false" ht="15" hidden="false" customHeight="true" outlineLevel="0" collapsed="false">
      <c r="A37" s="7" t="s">
        <v>70</v>
      </c>
      <c r="B37" s="8" t="n">
        <v>0.5</v>
      </c>
      <c r="C37" s="9" t="s">
        <v>31</v>
      </c>
      <c r="D37" s="7" t="s">
        <v>71</v>
      </c>
    </row>
    <row r="39" customFormat="false" ht="15" hidden="false" customHeight="true" outlineLevel="0" collapsed="false">
      <c r="A39" s="5" t="s">
        <v>72</v>
      </c>
      <c r="B39" s="6"/>
      <c r="C39" s="6"/>
      <c r="D39" s="6"/>
    </row>
    <row r="40" customFormat="false" ht="15" hidden="false" customHeight="true" outlineLevel="0" collapsed="false">
      <c r="A40" s="7" t="s">
        <v>73</v>
      </c>
      <c r="B40" s="8" t="n">
        <v>50</v>
      </c>
      <c r="C40" s="9" t="s">
        <v>74</v>
      </c>
      <c r="D40" s="7" t="s">
        <v>75</v>
      </c>
    </row>
    <row r="41" customFormat="false" ht="15" hidden="false" customHeight="true" outlineLevel="0" collapsed="false">
      <c r="A41" s="7" t="s">
        <v>76</v>
      </c>
      <c r="B41" s="8" t="n">
        <v>25</v>
      </c>
      <c r="C41" s="9" t="s">
        <v>77</v>
      </c>
      <c r="D41" s="7" t="s">
        <v>78</v>
      </c>
    </row>
    <row r="42" customFormat="false" ht="15" hidden="false" customHeight="true" outlineLevel="0" collapsed="false">
      <c r="A42" s="7" t="s">
        <v>79</v>
      </c>
      <c r="B42" s="8" t="n">
        <v>0.3</v>
      </c>
      <c r="C42" s="9" t="s">
        <v>31</v>
      </c>
      <c r="D42" s="7" t="s">
        <v>80</v>
      </c>
    </row>
    <row r="43" customFormat="false" ht="15" hidden="false" customHeight="true" outlineLevel="0" collapsed="false">
      <c r="A43" s="7" t="s">
        <v>81</v>
      </c>
      <c r="B43" s="8" t="n">
        <v>45</v>
      </c>
      <c r="C43" s="9" t="s">
        <v>77</v>
      </c>
      <c r="D43" s="7" t="s">
        <v>82</v>
      </c>
    </row>
    <row r="45" customFormat="false" ht="15" hidden="false" customHeight="true" outlineLevel="0" collapsed="false">
      <c r="A45" s="5" t="s">
        <v>83</v>
      </c>
      <c r="B45" s="6"/>
      <c r="C45" s="6"/>
      <c r="D45" s="6"/>
    </row>
    <row r="46" customFormat="false" ht="23.25" hidden="false" customHeight="true" outlineLevel="0" collapsed="false">
      <c r="A46" s="7" t="s">
        <v>84</v>
      </c>
      <c r="B46" s="8" t="n">
        <v>40</v>
      </c>
      <c r="C46" s="9" t="s">
        <v>85</v>
      </c>
      <c r="D46" s="7" t="s">
        <v>86</v>
      </c>
    </row>
    <row r="47" customFormat="false" ht="23.25" hidden="false" customHeight="true" outlineLevel="0" collapsed="false">
      <c r="A47" s="7" t="s">
        <v>87</v>
      </c>
      <c r="B47" s="8" t="n">
        <v>60</v>
      </c>
      <c r="C47" s="9" t="s">
        <v>88</v>
      </c>
      <c r="D47" s="7" t="s">
        <v>89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10"/>
    <col collapsed="false" customWidth="true" hidden="false" outlineLevel="0" max="6" min="6" style="1" width="38"/>
  </cols>
  <sheetData>
    <row r="1" customFormat="false" ht="17.25" hidden="false" customHeight="true" outlineLevel="0" collapsed="false">
      <c r="A1" s="2" t="s">
        <v>90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1" t="s">
        <v>91</v>
      </c>
      <c r="B2" s="11"/>
      <c r="C2" s="11"/>
      <c r="D2" s="11"/>
      <c r="E2" s="11"/>
      <c r="F2" s="11"/>
    </row>
    <row r="4" customFormat="false" ht="15" hidden="false" customHeight="tru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</row>
    <row r="5" customFormat="false" ht="15" hidden="false" customHeight="true" outlineLevel="0" collapsed="false">
      <c r="A5" s="12" t="s">
        <v>98</v>
      </c>
      <c r="B5" s="13"/>
      <c r="C5" s="14"/>
      <c r="D5" s="15"/>
      <c r="E5" s="15"/>
      <c r="F5" s="16"/>
    </row>
    <row r="6" customFormat="false" ht="15" hidden="false" customHeight="true" outlineLevel="0" collapsed="false">
      <c r="A6" s="17" t="s">
        <v>99</v>
      </c>
      <c r="B6" s="18" t="s">
        <v>100</v>
      </c>
      <c r="C6" s="19" t="n">
        <f aca="false">Hypothèses!$B$18</f>
        <v>2011</v>
      </c>
      <c r="D6" s="20"/>
      <c r="E6" s="20" t="n">
        <f aca="false">Hypothèses!$B$18/Hypothèses!$B$7</f>
        <v>5.74571428571429</v>
      </c>
      <c r="F6" s="21" t="s">
        <v>101</v>
      </c>
    </row>
    <row r="7" customFormat="false" ht="15" hidden="false" customHeight="true" outlineLevel="0" collapsed="false">
      <c r="A7" s="17" t="s">
        <v>102</v>
      </c>
      <c r="B7" s="18" t="s">
        <v>100</v>
      </c>
      <c r="C7" s="19" t="n">
        <f aca="false">Hypothèses!$B$21</f>
        <v>329</v>
      </c>
      <c r="D7" s="20" t="n">
        <f aca="false">Hypothèses!$B$21*Hypothèses!$B$8/60</f>
        <v>16.45</v>
      </c>
      <c r="E7" s="20" t="n">
        <f aca="false">D7/Hypothèses!$B$12</f>
        <v>0.444594594594595</v>
      </c>
      <c r="F7" s="21" t="s">
        <v>103</v>
      </c>
    </row>
    <row r="8" customFormat="false" ht="15" hidden="false" customHeight="true" outlineLevel="0" collapsed="false">
      <c r="A8" s="17" t="s">
        <v>104</v>
      </c>
      <c r="B8" s="18" t="s">
        <v>100</v>
      </c>
      <c r="C8" s="19" t="n">
        <f aca="false">Hypothèses!$B$22</f>
        <v>277</v>
      </c>
      <c r="D8" s="20" t="n">
        <f aca="false">Hypothèses!$B$29*Hypothèses!$B$12/Hypothèses!$B$13</f>
        <v>3.7</v>
      </c>
      <c r="E8" s="20" t="n">
        <f aca="false">Hypothèses!$B$29/Hypothèses!$B$13</f>
        <v>0.1</v>
      </c>
      <c r="F8" s="21" t="s">
        <v>105</v>
      </c>
    </row>
    <row r="9" customFormat="false" ht="15" hidden="false" customHeight="true" outlineLevel="0" collapsed="false">
      <c r="A9" s="17" t="s">
        <v>106</v>
      </c>
      <c r="B9" s="18" t="s">
        <v>100</v>
      </c>
      <c r="C9" s="19" t="n">
        <f aca="false">Hypothèses!$B$25</f>
        <v>9642</v>
      </c>
      <c r="D9" s="20"/>
      <c r="E9" s="20" t="n">
        <f aca="false">Hypothèses!$B$25/Hypothèses!$B$7</f>
        <v>27.5485714285714</v>
      </c>
      <c r="F9" s="21" t="s">
        <v>107</v>
      </c>
    </row>
    <row r="10" customFormat="false" ht="15" hidden="false" customHeight="true" outlineLevel="0" collapsed="false">
      <c r="A10" s="17" t="s">
        <v>108</v>
      </c>
      <c r="B10" s="18" t="s">
        <v>100</v>
      </c>
      <c r="C10" s="19" t="n">
        <f aca="false">Hypothèses!$B$26</f>
        <v>46644</v>
      </c>
      <c r="D10" s="20"/>
      <c r="E10" s="20" t="n">
        <f aca="false">Hypothèses!$B$26/Hypothèses!$B$7</f>
        <v>133.268571428571</v>
      </c>
      <c r="F10" s="21" t="s">
        <v>107</v>
      </c>
    </row>
    <row r="11" customFormat="false" ht="15" hidden="false" customHeight="true" outlineLevel="0" collapsed="false">
      <c r="A11" s="17" t="s">
        <v>109</v>
      </c>
      <c r="B11" s="22" t="s">
        <v>110</v>
      </c>
      <c r="C11" s="19" t="n">
        <f aca="false">C9+C10</f>
        <v>56286</v>
      </c>
      <c r="D11" s="20"/>
      <c r="E11" s="20" t="n">
        <f aca="false">C11/Hypothèses!$B$7</f>
        <v>160.817142857143</v>
      </c>
      <c r="F11" s="21" t="s">
        <v>111</v>
      </c>
    </row>
    <row r="12" customFormat="false" ht="15" hidden="false" customHeight="true" outlineLevel="0" collapsed="false">
      <c r="A12" s="17" t="s">
        <v>112</v>
      </c>
      <c r="B12" s="18" t="s">
        <v>100</v>
      </c>
      <c r="C12" s="19" t="n">
        <f aca="false">C11*Hypothèses!$B$27</f>
        <v>22514.4</v>
      </c>
      <c r="D12" s="20"/>
      <c r="E12" s="20" t="n">
        <f aca="false">C12/Hypothèses!$B$7</f>
        <v>64.3268571428572</v>
      </c>
      <c r="F12" s="21" t="s">
        <v>113</v>
      </c>
    </row>
    <row r="13" customFormat="false" ht="15" hidden="false" customHeight="true" outlineLevel="0" collapsed="false">
      <c r="A13" s="17" t="s">
        <v>114</v>
      </c>
      <c r="B13" s="18" t="s">
        <v>100</v>
      </c>
      <c r="C13" s="19" t="n">
        <f aca="false">Hypothèses!$B$40</f>
        <v>50</v>
      </c>
      <c r="D13" s="20" t="n">
        <f aca="false">C13*Hypothèses!$B$41/60</f>
        <v>20.8333333333333</v>
      </c>
      <c r="E13" s="20" t="n">
        <f aca="false">D13/Hypothèses!$B$12</f>
        <v>0.563063063063063</v>
      </c>
      <c r="F13" s="21" t="s">
        <v>115</v>
      </c>
    </row>
    <row r="14" customFormat="false" ht="15" hidden="false" customHeight="true" outlineLevel="0" collapsed="false">
      <c r="A14" s="23"/>
      <c r="B14" s="24"/>
      <c r="C14" s="19"/>
      <c r="D14" s="20"/>
      <c r="E14" s="20"/>
      <c r="F14" s="23"/>
    </row>
    <row r="15" customFormat="false" ht="15" hidden="false" customHeight="true" outlineLevel="0" collapsed="false">
      <c r="A15" s="25" t="s">
        <v>116</v>
      </c>
      <c r="B15" s="26"/>
      <c r="C15" s="27"/>
      <c r="D15" s="28"/>
      <c r="E15" s="28"/>
      <c r="F15" s="29"/>
    </row>
    <row r="16" customFormat="false" ht="15" hidden="false" customHeight="true" outlineLevel="0" collapsed="false">
      <c r="A16" s="30" t="s">
        <v>117</v>
      </c>
      <c r="B16" s="31"/>
      <c r="C16" s="32"/>
      <c r="D16" s="33"/>
      <c r="E16" s="33"/>
      <c r="F16" s="34"/>
    </row>
    <row r="17" customFormat="false" ht="15" hidden="false" customHeight="true" outlineLevel="0" collapsed="false">
      <c r="A17" s="17" t="s">
        <v>118</v>
      </c>
      <c r="B17" s="35" t="s">
        <v>119</v>
      </c>
      <c r="C17" s="19" t="n">
        <f aca="false">Hypothèses!$B$23</f>
        <v>207</v>
      </c>
      <c r="D17" s="20" t="n">
        <f aca="false">Hypothèses!$B$30*Hypothèses!$B$12/Hypothèses!$B$13</f>
        <v>3.7</v>
      </c>
      <c r="E17" s="20" t="n">
        <f aca="false">Hypothèses!$B$30/Hypothèses!$B$13</f>
        <v>0.1</v>
      </c>
      <c r="F17" s="21" t="s">
        <v>120</v>
      </c>
    </row>
    <row r="18" customFormat="false" ht="15" hidden="false" customHeight="true" outlineLevel="0" collapsed="false">
      <c r="A18" s="17" t="s">
        <v>121</v>
      </c>
      <c r="B18" s="18" t="s">
        <v>100</v>
      </c>
      <c r="C18" s="19" t="n">
        <f aca="false">(Hypothèses!$B$19-Hypothèses!$B$23)</f>
        <v>609</v>
      </c>
      <c r="D18" s="20" t="n">
        <f aca="false">C18/Hypothèses!$B$23*Hypothèses!$B$30*Hypothèses!$B$12/Hypothèses!$B$13</f>
        <v>10.8855072463768</v>
      </c>
      <c r="E18" s="20" t="n">
        <f aca="false">C18/Hypothèses!$B$23*Hypothèses!$B$30/Hypothèses!$B$13</f>
        <v>0.294202898550725</v>
      </c>
      <c r="F18" s="21" t="s">
        <v>122</v>
      </c>
    </row>
    <row r="19" customFormat="false" ht="15" hidden="false" customHeight="true" outlineLevel="0" collapsed="false">
      <c r="A19" s="17" t="s">
        <v>123</v>
      </c>
      <c r="B19" s="18" t="s">
        <v>100</v>
      </c>
      <c r="C19" s="19" t="n">
        <f aca="false">Hypothèses!$B$19</f>
        <v>816</v>
      </c>
      <c r="D19" s="20" t="n">
        <f aca="false">C19*Hypothèses!$B$9/60</f>
        <v>204</v>
      </c>
      <c r="E19" s="20" t="n">
        <f aca="false">D19/Hypothèses!$B$12</f>
        <v>5.51351351351351</v>
      </c>
      <c r="F19" s="21" t="s">
        <v>124</v>
      </c>
    </row>
    <row r="20" customFormat="false" ht="15" hidden="false" customHeight="true" outlineLevel="0" collapsed="false">
      <c r="A20" s="17" t="s">
        <v>125</v>
      </c>
      <c r="B20" s="36" t="s">
        <v>126</v>
      </c>
      <c r="C20" s="19" t="n">
        <f aca="false">Hypothèses!$B$19</f>
        <v>816</v>
      </c>
      <c r="D20" s="20" t="n">
        <f aca="false">C20*Hypothèses!$B$10/60</f>
        <v>272</v>
      </c>
      <c r="E20" s="20" t="n">
        <f aca="false">D20/Hypothèses!$B$12</f>
        <v>7.35135135135135</v>
      </c>
      <c r="F20" s="21" t="s">
        <v>127</v>
      </c>
    </row>
    <row r="21" customFormat="false" ht="21.75" hidden="false" customHeight="true" outlineLevel="0" collapsed="false">
      <c r="A21" s="30" t="s">
        <v>128</v>
      </c>
      <c r="B21" s="31"/>
      <c r="C21" s="32"/>
      <c r="D21" s="33"/>
      <c r="E21" s="33"/>
      <c r="F21" s="34"/>
    </row>
    <row r="22" customFormat="false" ht="15" hidden="false" customHeight="true" outlineLevel="0" collapsed="false">
      <c r="A22" s="17" t="s">
        <v>129</v>
      </c>
      <c r="B22" s="18" t="s">
        <v>100</v>
      </c>
      <c r="C22" s="19" t="n">
        <f aca="false">Hypothèses!$B$18*Hypothèses!$B$37</f>
        <v>1005.5</v>
      </c>
      <c r="D22" s="20" t="n">
        <f aca="false">C22*Hypothèses!$B$8/60</f>
        <v>50.275</v>
      </c>
      <c r="E22" s="20" t="n">
        <f aca="false">D22/Hypothèses!$B$12</f>
        <v>1.35878378378378</v>
      </c>
      <c r="F22" s="21" t="s">
        <v>130</v>
      </c>
    </row>
    <row r="23" customFormat="false" ht="15" hidden="false" customHeight="true" outlineLevel="0" collapsed="false">
      <c r="A23" s="17" t="s">
        <v>131</v>
      </c>
      <c r="B23" s="18" t="s">
        <v>100</v>
      </c>
      <c r="C23" s="19" t="n">
        <f aca="false">Hypothèses!$B$18*Hypothèses!$B$37</f>
        <v>1005.5</v>
      </c>
      <c r="D23" s="20" t="n">
        <f aca="false">C23/Hypothèses!$B$23*Hypothèses!$B$30*Hypothèses!$B$12/Hypothèses!$B$13</f>
        <v>17.9727053140097</v>
      </c>
      <c r="E23" s="20" t="n">
        <f aca="false">C23/Hypothèses!$B$23*Hypothèses!$B$30/Hypothèses!$B$13</f>
        <v>0.485748792270531</v>
      </c>
      <c r="F23" s="21" t="s">
        <v>132</v>
      </c>
    </row>
    <row r="24" customFormat="false" ht="15" hidden="false" customHeight="true" outlineLevel="0" collapsed="false">
      <c r="A24" s="17" t="s">
        <v>123</v>
      </c>
      <c r="B24" s="18" t="s">
        <v>100</v>
      </c>
      <c r="C24" s="19" t="n">
        <f aca="false">Hypothèses!$B$18*Hypothèses!$B$37</f>
        <v>1005.5</v>
      </c>
      <c r="D24" s="20" t="n">
        <f aca="false">C24*Hypothèses!$B$9/60</f>
        <v>251.375</v>
      </c>
      <c r="E24" s="20" t="n">
        <f aca="false">D24/Hypothèses!$B$12</f>
        <v>6.79391891891892</v>
      </c>
      <c r="F24" s="21" t="s">
        <v>133</v>
      </c>
    </row>
    <row r="25" customFormat="false" ht="15" hidden="false" customHeight="true" outlineLevel="0" collapsed="false">
      <c r="A25" s="17" t="s">
        <v>125</v>
      </c>
      <c r="B25" s="18" t="s">
        <v>100</v>
      </c>
      <c r="C25" s="19" t="n">
        <f aca="false">Hypothèses!$B$18*Hypothèses!$B$37</f>
        <v>1005.5</v>
      </c>
      <c r="D25" s="20" t="n">
        <f aca="false">C25*Hypothèses!$B$10/60</f>
        <v>335.166666666667</v>
      </c>
      <c r="E25" s="20" t="n">
        <f aca="false">D25/Hypothèses!$B$12</f>
        <v>9.05855855855856</v>
      </c>
      <c r="F25" s="21" t="s">
        <v>134</v>
      </c>
    </row>
    <row r="26" customFormat="false" ht="15" hidden="false" customHeight="true" outlineLevel="0" collapsed="false">
      <c r="A26" s="30" t="s">
        <v>135</v>
      </c>
      <c r="B26" s="31"/>
      <c r="C26" s="32"/>
      <c r="D26" s="33"/>
      <c r="E26" s="33"/>
      <c r="F26" s="34"/>
    </row>
    <row r="27" customFormat="false" ht="15" hidden="false" customHeight="true" outlineLevel="0" collapsed="false">
      <c r="A27" s="17" t="s">
        <v>131</v>
      </c>
      <c r="B27" s="18" t="s">
        <v>100</v>
      </c>
      <c r="C27" s="19" t="n">
        <f aca="false">Hypothèses!$B$40*Hypothèses!$B$42</f>
        <v>15</v>
      </c>
      <c r="D27" s="20" t="n">
        <f aca="false">C27/Hypothèses!$B$23*Hypothèses!$B$30*Hypothèses!$B$12/Hypothèses!$B$13</f>
        <v>0.268115942028986</v>
      </c>
      <c r="E27" s="20" t="n">
        <f aca="false">C27/Hypothèses!$B$23*Hypothèses!$B$30/Hypothèses!$B$13</f>
        <v>0.0072463768115942</v>
      </c>
      <c r="F27" s="21" t="s">
        <v>136</v>
      </c>
    </row>
    <row r="28" customFormat="false" ht="15" hidden="false" customHeight="true" outlineLevel="0" collapsed="false">
      <c r="A28" s="17" t="s">
        <v>125</v>
      </c>
      <c r="B28" s="18" t="s">
        <v>100</v>
      </c>
      <c r="C28" s="19" t="n">
        <f aca="false">Hypothèses!$B$40*Hypothèses!$B$42</f>
        <v>15</v>
      </c>
      <c r="D28" s="20" t="n">
        <f aca="false">C28*Hypothèses!$B$43/60</f>
        <v>11.25</v>
      </c>
      <c r="E28" s="20" t="n">
        <f aca="false">D28/Hypothèses!$B$12</f>
        <v>0.304054054054054</v>
      </c>
      <c r="F28" s="21" t="s">
        <v>137</v>
      </c>
    </row>
    <row r="29" customFormat="false" ht="21.75" hidden="false" customHeight="true" outlineLevel="0" collapsed="false">
      <c r="A29" s="30" t="s">
        <v>138</v>
      </c>
      <c r="B29" s="31"/>
      <c r="C29" s="32"/>
      <c r="D29" s="33"/>
      <c r="E29" s="33"/>
      <c r="F29" s="34"/>
    </row>
    <row r="30" customFormat="false" ht="15" hidden="false" customHeight="true" outlineLevel="0" collapsed="false">
      <c r="A30" s="17" t="s">
        <v>139</v>
      </c>
      <c r="B30" s="36" t="s">
        <v>126</v>
      </c>
      <c r="C30" s="19" t="n">
        <f aca="false">Hypothèses!$B$46</f>
        <v>40</v>
      </c>
      <c r="D30" s="20" t="n">
        <f aca="false">C30*Hypothèses!$B$47/60</f>
        <v>40</v>
      </c>
      <c r="E30" s="20" t="n">
        <f aca="false">D30/Hypothèses!$B$12</f>
        <v>1.08108108108108</v>
      </c>
      <c r="F30" s="21" t="s">
        <v>140</v>
      </c>
    </row>
    <row r="31" customFormat="false" ht="15" hidden="false" customHeight="true" outlineLevel="0" collapsed="false">
      <c r="A31" s="17" t="s">
        <v>141</v>
      </c>
      <c r="B31" s="36" t="s">
        <v>126</v>
      </c>
      <c r="C31" s="19"/>
      <c r="D31" s="20"/>
      <c r="E31" s="20" t="n">
        <f aca="false">Hypothèses!$B$31</f>
        <v>0.5</v>
      </c>
      <c r="F31" s="21" t="s">
        <v>142</v>
      </c>
    </row>
    <row r="32" customFormat="false" ht="15" hidden="false" customHeight="true" outlineLevel="0" collapsed="false">
      <c r="A32" s="23"/>
      <c r="B32" s="24"/>
      <c r="C32" s="19"/>
      <c r="D32" s="20"/>
      <c r="E32" s="20"/>
      <c r="F32" s="23"/>
    </row>
    <row r="33" customFormat="false" ht="15" hidden="false" customHeight="true" outlineLevel="0" collapsed="false">
      <c r="A33" s="37" t="s">
        <v>143</v>
      </c>
      <c r="B33" s="38"/>
      <c r="C33" s="39"/>
      <c r="D33" s="40"/>
      <c r="E33" s="40"/>
      <c r="F33" s="41"/>
    </row>
    <row r="34" customFormat="false" ht="15" hidden="false" customHeight="true" outlineLevel="0" collapsed="false">
      <c r="A34" s="17" t="s">
        <v>144</v>
      </c>
      <c r="B34" s="35" t="s">
        <v>119</v>
      </c>
      <c r="C34" s="19"/>
      <c r="D34" s="20"/>
      <c r="E34" s="20" t="n">
        <v>0</v>
      </c>
      <c r="F34" s="21" t="s">
        <v>145</v>
      </c>
    </row>
    <row r="35" customFormat="false" ht="15" hidden="false" customHeight="true" outlineLevel="0" collapsed="false">
      <c r="A35" s="17" t="s">
        <v>146</v>
      </c>
      <c r="B35" s="18" t="s">
        <v>100</v>
      </c>
      <c r="C35" s="19"/>
      <c r="D35" s="20"/>
      <c r="E35" s="20" t="n">
        <f aca="false">Hypothèses!$B$32</f>
        <v>1</v>
      </c>
      <c r="F35" s="21" t="s">
        <v>147</v>
      </c>
    </row>
    <row r="36" customFormat="false" ht="15" hidden="false" customHeight="true" outlineLevel="0" collapsed="false">
      <c r="A36" s="17" t="s">
        <v>148</v>
      </c>
      <c r="B36" s="42" t="s">
        <v>149</v>
      </c>
      <c r="C36" s="19"/>
      <c r="D36" s="20"/>
      <c r="E36" s="20"/>
      <c r="F36" s="21" t="s">
        <v>150</v>
      </c>
    </row>
    <row r="37" customFormat="false" ht="15" hidden="false" customHeight="true" outlineLevel="0" collapsed="false">
      <c r="A37" s="17" t="s">
        <v>151</v>
      </c>
      <c r="B37" s="42" t="s">
        <v>149</v>
      </c>
      <c r="C37" s="19"/>
      <c r="D37" s="20"/>
      <c r="E37" s="20"/>
      <c r="F37" s="21" t="s">
        <v>152</v>
      </c>
    </row>
    <row r="38" customFormat="false" ht="15" hidden="false" customHeight="true" outlineLevel="0" collapsed="false">
      <c r="A38" s="17" t="s">
        <v>153</v>
      </c>
      <c r="B38" s="42" t="s">
        <v>149</v>
      </c>
      <c r="C38" s="19"/>
      <c r="D38" s="20"/>
      <c r="E38" s="20"/>
      <c r="F38" s="21" t="s">
        <v>154</v>
      </c>
    </row>
    <row r="39" customFormat="false" ht="15" hidden="false" customHeight="true" outlineLevel="0" collapsed="false">
      <c r="A39" s="23"/>
      <c r="B39" s="24"/>
      <c r="C39" s="19"/>
      <c r="D39" s="20"/>
      <c r="E39" s="20"/>
      <c r="F39" s="23"/>
    </row>
    <row r="40" customFormat="false" ht="15" hidden="false" customHeight="true" outlineLevel="0" collapsed="false">
      <c r="A40" s="43" t="s">
        <v>155</v>
      </c>
      <c r="B40" s="44"/>
      <c r="C40" s="45"/>
      <c r="D40" s="46"/>
      <c r="E40" s="46"/>
      <c r="F40" s="47"/>
    </row>
    <row r="41" customFormat="false" ht="15" hidden="false" customHeight="true" outlineLevel="0" collapsed="false">
      <c r="A41" s="17" t="s">
        <v>66</v>
      </c>
      <c r="B41" s="18" t="s">
        <v>100</v>
      </c>
      <c r="C41" s="19"/>
      <c r="D41" s="20"/>
      <c r="E41" s="20" t="n">
        <f aca="false">Hypothèses!$B$33</f>
        <v>6</v>
      </c>
      <c r="F41" s="21" t="s">
        <v>156</v>
      </c>
    </row>
    <row r="42" customFormat="false" ht="15" hidden="false" customHeight="true" outlineLevel="0" collapsed="false">
      <c r="A42" s="17" t="s">
        <v>157</v>
      </c>
      <c r="B42" s="18" t="s">
        <v>100</v>
      </c>
      <c r="C42" s="19"/>
      <c r="D42" s="20"/>
      <c r="E42" s="20" t="n">
        <f aca="false">Hypothèses!$B$34</f>
        <v>1</v>
      </c>
      <c r="F42" s="21" t="s">
        <v>156</v>
      </c>
    </row>
    <row r="44" customFormat="false" ht="15" hidden="false" customHeight="true" outlineLevel="0" collapsed="false">
      <c r="A44" s="48" t="s">
        <v>158</v>
      </c>
    </row>
    <row r="45" customFormat="false" ht="21.75" hidden="false" customHeight="true" outlineLevel="0" collapsed="false">
      <c r="A45" s="49" t="s">
        <v>159</v>
      </c>
      <c r="B45" s="50"/>
      <c r="C45" s="50"/>
      <c r="D45" s="50"/>
      <c r="E45" s="51" t="n">
        <f aca="false">E7+E8+E18+E19+E20+E30+E31+E35+E41+E42</f>
        <v>23.2847434390913</v>
      </c>
      <c r="F45" s="52" t="s">
        <v>160</v>
      </c>
    </row>
    <row r="46" customFormat="false" ht="15" hidden="false" customHeight="true" outlineLevel="0" collapsed="false">
      <c r="A46" s="53" t="s">
        <v>161</v>
      </c>
      <c r="B46" s="54"/>
      <c r="C46" s="54"/>
      <c r="D46" s="54"/>
      <c r="E46" s="55" t="n">
        <f aca="false">E45+E6+E22+E23+E24+E25</f>
        <v>46.7274677783373</v>
      </c>
      <c r="F46" s="56" t="s">
        <v>162</v>
      </c>
    </row>
    <row r="47" customFormat="false" ht="15" hidden="false" customHeight="true" outlineLevel="0" collapsed="false">
      <c r="A47" s="57" t="s">
        <v>163</v>
      </c>
      <c r="B47" s="58"/>
      <c r="C47" s="58"/>
      <c r="D47" s="58"/>
      <c r="E47" s="59" t="n">
        <f aca="false">E46+E12</f>
        <v>111.054324921194</v>
      </c>
      <c r="F47" s="60" t="s">
        <v>164</v>
      </c>
    </row>
    <row r="48" customFormat="false" ht="15" hidden="false" customHeight="true" outlineLevel="0" collapsed="false">
      <c r="A48" s="61" t="s">
        <v>165</v>
      </c>
      <c r="B48" s="62"/>
      <c r="C48" s="62"/>
      <c r="D48" s="62"/>
      <c r="E48" s="63" t="n">
        <f aca="false">E47+E13+E27+E28</f>
        <v>111.928688415123</v>
      </c>
      <c r="F48" s="64" t="s">
        <v>166</v>
      </c>
    </row>
    <row r="50" customFormat="false" ht="15" hidden="false" customHeight="true" outlineLevel="0" collapsed="false">
      <c r="A50" s="65" t="s">
        <v>167</v>
      </c>
    </row>
    <row r="51" customFormat="false" ht="15" hidden="false" customHeight="true" outlineLevel="0" collapsed="false">
      <c r="A51" s="65" t="s">
        <v>168</v>
      </c>
    </row>
    <row r="52" customFormat="false" ht="15" hidden="false" customHeight="false" outlineLevel="0" collapsed="false">
      <c r="A52" s="66" t="s">
        <v>169</v>
      </c>
    </row>
    <row r="53" customFormat="false" ht="15" hidden="false" customHeight="true" outlineLevel="0" collapsed="false">
      <c r="A53" s="67" t="s">
        <v>170</v>
      </c>
    </row>
    <row r="54" customFormat="false" ht="15" hidden="false" customHeight="true" outlineLevel="0" collapsed="false">
      <c r="A54" s="67" t="s">
        <v>171</v>
      </c>
    </row>
    <row r="55" customFormat="false" ht="15" hidden="false" customHeight="true" outlineLevel="0" collapsed="false">
      <c r="A55" s="67" t="s">
        <v>172</v>
      </c>
    </row>
    <row r="56" customFormat="false" ht="15" hidden="false" customHeight="true" outlineLevel="0" collapsed="false">
      <c r="A56" s="67" t="s">
        <v>173</v>
      </c>
    </row>
    <row r="57" customFormat="false" ht="15" hidden="false" customHeight="true" outlineLevel="0" collapsed="false">
      <c r="A57" s="67"/>
    </row>
    <row r="58" customFormat="false" ht="15" hidden="false" customHeight="false" outlineLevel="0" collapsed="false">
      <c r="A58" s="66" t="s">
        <v>174</v>
      </c>
    </row>
    <row r="59" customFormat="false" ht="15" hidden="false" customHeight="false" outlineLevel="0" collapsed="false">
      <c r="A59" s="66" t="s">
        <v>175</v>
      </c>
    </row>
    <row r="60" customFormat="false" ht="15" hidden="false" customHeight="false" outlineLevel="0" collapsed="false">
      <c r="A60" s="66" t="s">
        <v>176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2026-06-26T13:01:49Z</dcterms:created>
  <dc:creator>openpyxl</dc:creator>
  <dc:description/>
  <dc:language>en-US</dc:language>
  <cp:lastModifiedBy/>
  <dcterms:modified xsi:type="dcterms:W3CDTF">2026-06-26T15:02:51Z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